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phu\Downloads\"/>
    </mc:Choice>
  </mc:AlternateContent>
  <xr:revisionPtr revIDLastSave="0" documentId="13_ncr:1_{57C59CE9-FEEB-4A4A-8F7D-1CBDCDE25161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C28" i="6" l="1"/>
  <c r="C26" i="6"/>
  <c r="C25" i="6"/>
  <c r="C24" i="6"/>
  <c r="C5" i="6"/>
  <c r="C18" i="6"/>
  <c r="C9" i="6"/>
  <c r="C16" i="6"/>
  <c r="C15" i="6"/>
  <c r="C14" i="6"/>
  <c r="C6" i="6"/>
  <c r="B12" i="5"/>
  <c r="B10" i="5"/>
  <c r="B7" i="5"/>
  <c r="A8" i="5"/>
  <c r="A9" i="5"/>
  <c r="B9" i="5"/>
  <c r="A10" i="5"/>
  <c r="A11" i="5"/>
  <c r="A12" i="5"/>
  <c r="A13" i="5"/>
  <c r="A14" i="5"/>
  <c r="A15" i="5"/>
  <c r="A16" i="5"/>
  <c r="C7" i="6"/>
  <c r="D34" i="5"/>
  <c r="C34" i="5"/>
  <c r="D33" i="5"/>
  <c r="C33" i="5"/>
  <c r="D32" i="5"/>
  <c r="C32" i="5"/>
  <c r="D31" i="5"/>
  <c r="C31" i="5"/>
  <c r="D30" i="5"/>
  <c r="C30" i="5"/>
  <c r="D29" i="5"/>
  <c r="C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<sst xmlns="http://schemas.openxmlformats.org/spreadsheetml/2006/main" count="364" uniqueCount="228">
  <si>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</si>
  <si>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</si>
  <si>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</si>
  <si>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</si>
  <si>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</si>
  <si>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</si>
  <si>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</si>
  <si>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</si>
  <si>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</si>
  <si>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</si>
  <si>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</si>
  <si>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</si>
  <si>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</si>
  <si>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</si>
  <si>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</si>
  <si>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</si>
  <si>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</si>
  <si>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</si>
  <si>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</si>
  <si>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</si>
  <si>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</si>
  <si>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</si>
  <si>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</si>
  <si>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</si>
  <si>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</si>
  <si>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</si>
  <si>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</si>
  <si>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</si>
  <si>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</si>
  <si>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</si>
  <si>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</si>
  <si>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</si>
  <si>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</si>
  <si>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</si>
  <si>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</si>
  <si>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</si>
  <si>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</si>
  <si>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</si>
  <si>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</si>
  <si>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</si>
  <si>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</si>
  <si>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</si>
  <si>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</si>
  <si>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</si>
  <si>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</si>
  <si>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</si>
  <si>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</si>
  <si>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</si>
  <si>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</si>
  <si>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</si>
  <si>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</si>
  <si>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</si>
  <si>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</si>
  <si>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</si>
  <si>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</si>
  <si>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</si>
  <si>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</si>
  <si>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</si>
  <si>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</si>
  <si>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</si>
  <si>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</si>
  <si>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</si>
  <si>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</si>
  <si>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</si>
  <si>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</si>
  <si>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</si>
  <si>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</si>
  <si>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</si>
  <si>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</si>
  <si>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</si>
  <si>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</si>
  <si>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</si>
  <si>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</si>
  <si>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</si>
  <si>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</si>
  <si>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</si>
  <si>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</si>
  <si>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</si>
  <si>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</si>
  <si>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</si>
  <si>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</si>
  <si>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</si>
  <si>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</si>
  <si>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</si>
  <si>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</si>
  <si>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</si>
  <si>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</si>
  <si>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</si>
  <si>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</si>
  <si>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</si>
  <si>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</si>
  <si>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</si>
  <si>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</si>
  <si>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</si>
  <si>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</si>
  <si>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</si>
  <si>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</si>
  <si>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</si>
  <si>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</si>
  <si>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</si>
  <si>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</si>
  <si>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</si>
  <si>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</si>
  <si>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</si>
  <si>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</si>
  <si>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</si>
  <si>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</si>
  <si>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</si>
  <si>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</si>
  <si>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</si>
  <si>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</si>
  <si>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</si>
  <si>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</si>
  <si>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</si>
  <si>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</si>
  <si>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</si>
  <si>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</si>
  <si>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</si>
  <si>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</si>
  <si>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</si>
  <si>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</si>
  <si>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</si>
  <si>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</si>
  <si>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</si>
  <si>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</si>
  <si>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</si>
  <si>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</si>
  <si>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</si>
  <si>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</si>
  <si>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</si>
  <si>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</si>
  <si>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</si>
  <si>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</si>
  <si>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</si>
  <si>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</si>
  <si>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</si>
  <si>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</si>
  <si>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</si>
  <si>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</si>
  <si>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</si>
  <si>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</si>
  <si>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</si>
  <si>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</si>
  <si>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</si>
  <si>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</si>
  <si>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</si>
  <si>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</si>
  <si>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</si>
  <si>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</si>
  <si>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</si>
  <si>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</si>
  <si>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</si>
  <si>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</si>
  <si>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</si>
  <si>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</si>
  <si>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</si>
  <si>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</si>
  <si>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</si>
  <si>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</si>
  <si>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</si>
  <si>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</si>
  <si>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</si>
  <si>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</si>
  <si>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</si>
  <si>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</si>
  <si>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</si>
  <si>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</si>
  <si>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</si>
  <si>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</si>
  <si>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</si>
  <si>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</si>
  <si>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</si>
  <si>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</si>
  <si>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</si>
  <si>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</si>
  <si>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</si>
  <si>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</si>
  <si>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Fshop</t>
  </si>
  <si>
    <t>Nguyễn Hoàng Tú</t>
  </si>
  <si>
    <t>Fshop_ScreenDesign_v0.5</t>
  </si>
  <si>
    <t>Make a test plan</t>
  </si>
  <si>
    <t>Design test cases</t>
  </si>
  <si>
    <t>Create test cases based on requirements</t>
  </si>
  <si>
    <t>Prepare test data</t>
  </si>
  <si>
    <t>Execute test cases</t>
  </si>
  <si>
    <t>Report any errors that arise</t>
  </si>
  <si>
    <t>Synthesize and prepare test reports</t>
  </si>
  <si>
    <t>Test Execution</t>
  </si>
  <si>
    <t>Defect Management</t>
  </si>
  <si>
    <t>Test Case Review</t>
  </si>
  <si>
    <t>Manage progress and daily reports</t>
  </si>
  <si>
    <t>Use project management tools (ex: Trello,..)</t>
  </si>
  <si>
    <t>Monitor and analyze arising errors</t>
  </si>
  <si>
    <t>Đánh giá và phê duyệt test case</t>
  </si>
  <si>
    <t>Weekly meetings with the team</t>
  </si>
  <si>
    <t>Environmental assumptions</t>
  </si>
  <si>
    <t>Assume requirements</t>
  </si>
  <si>
    <t>The testing environment will be fully prepared before testing begins.</t>
  </si>
  <si>
    <t>All requirements will be finalized before test case design begins.</t>
  </si>
  <si>
    <t>Training on basic testing processes and methods.</t>
  </si>
  <si>
    <t>Test Lead</t>
  </si>
  <si>
    <t>Introduction to the testing process</t>
  </si>
  <si>
    <t>Analyze test requirements</t>
  </si>
  <si>
    <t>Instructions on how to analyze and understand project requirements.</t>
  </si>
  <si>
    <t>Test Manager</t>
  </si>
  <si>
    <t>All Functions of the Fshop system described in screen design document, the functions are tested in order of priority from high to low (highest priority tested first)</t>
  </si>
  <si>
    <t>Test key functions and manage test plans.</t>
  </si>
  <si>
    <t>Trần Quốc Trung</t>
  </si>
  <si>
    <t>Lê Chí Trường</t>
  </si>
  <si>
    <t>Trần Duy Tân</t>
  </si>
  <si>
    <t>Trần Thanh Vũ</t>
  </si>
  <si>
    <t>Test the Filter and Search functions.</t>
  </si>
  <si>
    <t>Design test cases and record errors for the Filter function.</t>
  </si>
  <si>
    <t xml:space="preserve">Test the Search and Filter functions.
</t>
  </si>
  <si>
    <t>Manage testing of Payment function and detailed testing.</t>
  </si>
  <si>
    <t xml:space="preserve">Test the Payment and Order Tracking functions.
</t>
  </si>
  <si>
    <t>Test the Order Tracking and Filter functions.</t>
  </si>
  <si>
    <t>Design test cases for Payment and Order Tracking functions.</t>
  </si>
  <si>
    <t>Test Search functionality and Order Tracking support.</t>
  </si>
  <si>
    <t>Test Filter and Payment functions.</t>
  </si>
  <si>
    <t>October</t>
  </si>
  <si>
    <t>Filter - Filter by product category</t>
  </si>
  <si>
    <t>Filter - Filter by price</t>
  </si>
  <si>
    <t>Filter - Filter by brand</t>
  </si>
  <si>
    <t>Search - Search by keyword</t>
  </si>
  <si>
    <t>Payments - Online payment processing</t>
  </si>
  <si>
    <t>Track orders - Update status</t>
  </si>
  <si>
    <t>Profile - Update personal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</si>
</sst>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1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sz val="10"/>
      <color rgb="FFFF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3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13" fillId="0" borderId="111" xfId="0" applyFont="1" applyBorder="1" applyAlignment="1">
      <alignment horizontal="left" vertical="center"/>
    </xf>
    <xf numFmtId="164" fontId="13" fillId="0" borderId="112" xfId="0" applyNumberFormat="1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164" fontId="13" fillId="0" borderId="84" xfId="0" applyNumberFormat="1" applyFont="1" applyBorder="1" applyAlignment="1">
      <alignment horizontal="center" vertical="center"/>
    </xf>
    <xf numFmtId="0" fontId="20" fillId="0" borderId="116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3" fillId="0" borderId="116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13" fillId="0" borderId="65" xfId="0" applyFont="1" applyBorder="1" applyAlignment="1">
      <alignment horizontal="left" vertical="center" wrapText="1"/>
    </xf>
    <xf numFmtId="0" fontId="5" fillId="0" borderId="92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13" fillId="0" borderId="47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5" fillId="0" borderId="71" xfId="0" applyFont="1" applyBorder="1" applyAlignment="1">
      <alignment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13" fillId="0" borderId="69" xfId="0" applyFont="1" applyBorder="1" applyAlignment="1">
      <alignment horizontal="left" vertical="center"/>
    </xf>
    <xf numFmtId="0" fontId="13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5" fillId="0" borderId="91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13" fillId="0" borderId="122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124" xfId="0" applyFont="1" applyBorder="1" applyAlignment="1">
      <alignment horizontal="left" vertical="top" wrapText="1"/>
    </xf>
    <xf numFmtId="0" fontId="13" fillId="0" borderId="117" xfId="0" applyFont="1" applyBorder="1" applyAlignment="1">
      <alignment horizontal="left" vertical="center" wrapText="1"/>
    </xf>
    <xf numFmtId="0" fontId="13" fillId="0" borderId="118" xfId="0" applyFont="1" applyBorder="1" applyAlignment="1">
      <alignment horizontal="left" vertical="center" wrapText="1"/>
    </xf>
    <xf numFmtId="0" fontId="13" fillId="0" borderId="99" xfId="0" applyFont="1" applyBorder="1" applyAlignment="1">
      <alignment horizontal="left" vertical="center" wrapText="1"/>
    </xf>
    <xf numFmtId="0" fontId="20" fillId="3" borderId="56" xfId="0" applyFont="1" applyFill="1" applyBorder="1" applyAlignment="1">
      <alignment horizontal="center" vertical="center"/>
    </xf>
    <xf numFmtId="0" fontId="20" fillId="3" borderId="104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164" fontId="13" fillId="0" borderId="47" xfId="0" applyNumberFormat="1" applyFont="1" applyBorder="1" applyAlignment="1">
      <alignment horizontal="center" vertical="center"/>
    </xf>
    <xf numFmtId="0" fontId="13" fillId="0" borderId="100" xfId="0" applyFont="1" applyBorder="1" applyAlignment="1">
      <alignment horizontal="left" vertical="top" wrapText="1"/>
    </xf>
    <xf numFmtId="0" fontId="13" fillId="0" borderId="88" xfId="0" applyFont="1" applyBorder="1" applyAlignment="1">
      <alignment horizontal="left" vertical="top" wrapText="1"/>
    </xf>
    <xf numFmtId="0" fontId="13" fillId="0" borderId="102" xfId="0" applyFont="1" applyBorder="1" applyAlignment="1">
      <alignment horizontal="left" vertical="top" wrapText="1"/>
    </xf>
    <xf numFmtId="164" fontId="13" fillId="0" borderId="54" xfId="0" applyNumberFormat="1" applyFont="1" applyBorder="1" applyAlignment="1">
      <alignment horizontal="center"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09" xfId="0" applyFont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0" fontId="20" fillId="3" borderId="117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5" fillId="0" borderId="12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DA-4912-A087-9E974DCB62D4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1DA-4912-A087-9E974DCB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</xdr:row>
      <xdr:rowOff>24765</xdr:rowOff>
    </xdr:from>
    <xdr:to>
      <xdr:col>1</xdr:col>
      <xdr:colOff>1283970</xdr:colOff>
      <xdr:row>1</xdr:row>
      <xdr:rowOff>903095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16432-2EB5-0AD8-2E20-5D76B598B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196215"/>
          <a:ext cx="914400" cy="8802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61925" y="1714500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8" workbookViewId="0">
      <selection activeCell="C5" sqref="C5:E5"/>
    </sheetView>
  </sheetViews>
  <sheetFormatPr defaultColWidth="14.5" defaultRowHeight="15" customHeight="1"/>
  <cols>
    <col min="1" max="1" width="7.83203125" customWidth="1"/>
    <col min="2" max="2" width="35" customWidth="1"/>
    <col min="3" max="3" width="12.1640625" customWidth="1"/>
    <col min="4" max="4" width="32.5" customWidth="1"/>
    <col min="5" max="5" width="10.5" customWidth="1"/>
    <col min="6" max="6" width="27.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94" t="s">
        <v>0</v>
      </c>
      <c r="D2" s="195"/>
      <c r="E2" s="195"/>
      <c r="F2" s="195"/>
      <c r="G2" s="19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97"/>
      <c r="C3" s="198"/>
      <c r="D3" s="198"/>
      <c r="E3" s="198"/>
      <c r="F3" s="198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00" t="s">
        <v>177</v>
      </c>
      <c r="D4" s="201"/>
      <c r="E4" s="202"/>
      <c r="F4" s="7" t="s">
        <v>2</v>
      </c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203" t="s">
        <v>177</v>
      </c>
      <c r="D5" s="204"/>
      <c r="E5" s="205"/>
      <c r="F5" s="10" t="s">
        <v>4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5</v>
      </c>
      <c r="C6" s="206" t="s">
        <v>208</v>
      </c>
      <c r="D6" s="207"/>
      <c r="E6" s="208"/>
      <c r="F6" s="10" t="s">
        <v>6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7</v>
      </c>
      <c r="C7" s="209" t="s">
        <v>8</v>
      </c>
      <c r="D7" s="210"/>
      <c r="E7" s="211"/>
      <c r="F7" s="13" t="s">
        <v>9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12" t="s">
        <v>10</v>
      </c>
      <c r="C9" s="2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11</v>
      </c>
      <c r="C10" s="15" t="s">
        <v>7</v>
      </c>
      <c r="D10" s="15" t="s">
        <v>12</v>
      </c>
      <c r="E10" s="15" t="s">
        <v>13</v>
      </c>
      <c r="F10" s="215" t="s">
        <v>14</v>
      </c>
      <c r="G10" s="21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45595</v>
      </c>
      <c r="C11" s="17" t="s">
        <v>8</v>
      </c>
      <c r="D11" s="18" t="s">
        <v>15</v>
      </c>
      <c r="E11" s="19"/>
      <c r="F11" s="217"/>
      <c r="G11" s="218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19"/>
      <c r="G12" s="22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12" t="s">
        <v>16</v>
      </c>
      <c r="C14" s="21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17</v>
      </c>
      <c r="C15" s="221" t="s">
        <v>18</v>
      </c>
      <c r="D15" s="201"/>
      <c r="E15" s="201"/>
      <c r="F15" s="202"/>
      <c r="G15" s="26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20</v>
      </c>
      <c r="C16" s="222" t="s">
        <v>21</v>
      </c>
      <c r="D16" s="204"/>
      <c r="E16" s="204"/>
      <c r="F16" s="205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22</v>
      </c>
      <c r="C17" s="214" t="s">
        <v>23</v>
      </c>
      <c r="D17" s="204"/>
      <c r="E17" s="204"/>
      <c r="F17" s="205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24</v>
      </c>
      <c r="C18" s="214" t="s">
        <v>25</v>
      </c>
      <c r="D18" s="204"/>
      <c r="E18" s="204"/>
      <c r="F18" s="205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26</v>
      </c>
      <c r="C19" s="214" t="s">
        <v>27</v>
      </c>
      <c r="D19" s="204"/>
      <c r="E19" s="204"/>
      <c r="F19" s="205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28</v>
      </c>
      <c r="C20" s="214" t="s">
        <v>29</v>
      </c>
      <c r="D20" s="204"/>
      <c r="E20" s="204"/>
      <c r="F20" s="205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30</v>
      </c>
      <c r="C21" s="223" t="s">
        <v>31</v>
      </c>
      <c r="D21" s="210"/>
      <c r="E21" s="210"/>
      <c r="F21" s="211"/>
      <c r="G21" s="31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212" t="s">
        <v>33</v>
      </c>
      <c r="C23" s="213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224" t="s">
        <v>34</v>
      </c>
      <c r="C24" s="201"/>
      <c r="D24" s="201"/>
      <c r="E24" s="202"/>
      <c r="F24" s="15" t="s">
        <v>7</v>
      </c>
      <c r="G24" s="35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225" t="s">
        <v>179</v>
      </c>
      <c r="C25" s="204"/>
      <c r="D25" s="204"/>
      <c r="E25" s="205"/>
      <c r="F25" s="36" t="s">
        <v>35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225"/>
      <c r="C26" s="204"/>
      <c r="D26" s="204"/>
      <c r="E26" s="205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F21"/>
    <mergeCell ref="B23:C23"/>
    <mergeCell ref="B24:E24"/>
    <mergeCell ref="B25:E25"/>
    <mergeCell ref="B26:E2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:G2"/>
    <mergeCell ref="B3:G3"/>
    <mergeCell ref="C4:E4"/>
    <mergeCell ref="C5:E5"/>
    <mergeCell ref="C6:E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workbookViewId="0">
      <selection activeCell="G9" sqref="G9"/>
    </sheetView>
  </sheetViews>
  <sheetFormatPr defaultColWidth="14.5" defaultRowHeight="15" customHeight="1"/>
  <cols>
    <col min="1" max="1" width="2.83203125" customWidth="1"/>
    <col min="2" max="2" width="5" customWidth="1"/>
    <col min="3" max="3" width="65.33203125" customWidth="1"/>
    <col min="4" max="4" width="15.83203125" customWidth="1"/>
    <col min="5" max="5" width="60.83203125" customWidth="1"/>
    <col min="6" max="6" width="12" customWidth="1"/>
    <col min="7" max="7" width="10.16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32" t="s">
        <v>22</v>
      </c>
      <c r="B2" s="233"/>
      <c r="C2" s="233"/>
      <c r="D2" s="233"/>
      <c r="E2" s="233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33"/>
      <c r="B3" s="233"/>
      <c r="C3" s="233"/>
      <c r="D3" s="233"/>
      <c r="E3" s="233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36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37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38</v>
      </c>
      <c r="C6" s="46" t="s">
        <v>18</v>
      </c>
      <c r="D6" s="47" t="s">
        <v>39</v>
      </c>
      <c r="E6" s="48" t="s">
        <v>19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40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41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38</v>
      </c>
      <c r="C13" s="46" t="s">
        <v>42</v>
      </c>
      <c r="D13" s="234" t="s">
        <v>19</v>
      </c>
      <c r="E13" s="216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35"/>
      <c r="E14" s="236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60">
        <v>2</v>
      </c>
      <c r="C15" s="61"/>
      <c r="D15" s="237"/>
      <c r="E15" s="238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3"/>
      <c r="C16" s="38"/>
      <c r="D16" s="64"/>
      <c r="E16" s="64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43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44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38</v>
      </c>
      <c r="C19" s="46" t="s">
        <v>42</v>
      </c>
      <c r="D19" s="65" t="s">
        <v>45</v>
      </c>
      <c r="E19" s="66" t="s">
        <v>19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7"/>
      <c r="C20" s="68"/>
      <c r="D20" s="69"/>
      <c r="E20" s="70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7"/>
      <c r="C21" s="71"/>
      <c r="D21" s="72"/>
      <c r="E21" s="73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46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47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38</v>
      </c>
      <c r="C25" s="46" t="s">
        <v>48</v>
      </c>
      <c r="D25" s="47" t="s">
        <v>49</v>
      </c>
      <c r="E25" s="48" t="s">
        <v>19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4">
        <v>1</v>
      </c>
      <c r="C26" s="75" t="s">
        <v>50</v>
      </c>
      <c r="D26" s="76"/>
      <c r="E26" s="77" t="s">
        <v>51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8">
        <v>2</v>
      </c>
      <c r="C27" s="79" t="s">
        <v>52</v>
      </c>
      <c r="D27" s="76"/>
      <c r="E27" s="79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80">
        <v>3</v>
      </c>
      <c r="C28" s="73" t="s">
        <v>53</v>
      </c>
      <c r="D28" s="78"/>
      <c r="E28" s="73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54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55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38</v>
      </c>
      <c r="C32" s="46" t="s">
        <v>56</v>
      </c>
      <c r="D32" s="234" t="s">
        <v>19</v>
      </c>
      <c r="E32" s="216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81">
        <v>1</v>
      </c>
      <c r="C33" s="75" t="s">
        <v>57</v>
      </c>
      <c r="D33" s="237"/>
      <c r="E33" s="238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81">
        <v>2</v>
      </c>
      <c r="C34" s="75" t="s">
        <v>58</v>
      </c>
      <c r="D34" s="226"/>
      <c r="E34" s="22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36" customHeight="1">
      <c r="A35" s="39"/>
      <c r="B35" s="81">
        <v>3</v>
      </c>
      <c r="C35" s="75" t="s">
        <v>59</v>
      </c>
      <c r="D35" s="226"/>
      <c r="E35" s="227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37.15" customHeight="1">
      <c r="A36" s="39"/>
      <c r="B36" s="81">
        <v>4</v>
      </c>
      <c r="C36" s="75" t="s">
        <v>60</v>
      </c>
      <c r="D36" s="228"/>
      <c r="E36" s="22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2" t="s">
        <v>38</v>
      </c>
      <c r="C37" s="83" t="s">
        <v>61</v>
      </c>
      <c r="D37" s="230" t="s">
        <v>19</v>
      </c>
      <c r="E37" s="21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4">
        <v>1</v>
      </c>
      <c r="C38" s="75" t="s">
        <v>62</v>
      </c>
      <c r="D38" s="231"/>
      <c r="E38" s="22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40" zoomScaleNormal="100" workbookViewId="0">
      <selection activeCell="G37" sqref="G37:H37"/>
    </sheetView>
  </sheetViews>
  <sheetFormatPr defaultColWidth="14.5" defaultRowHeight="15" customHeight="1"/>
  <cols>
    <col min="1" max="1" width="4.83203125" customWidth="1"/>
    <col min="2" max="2" width="9.1640625" customWidth="1"/>
    <col min="3" max="3" width="29" customWidth="1"/>
    <col min="4" max="4" width="27.83203125" customWidth="1"/>
    <col min="5" max="5" width="30.5" customWidth="1"/>
    <col min="6" max="6" width="29.1640625" customWidth="1"/>
    <col min="7" max="7" width="26.83203125" customWidth="1"/>
    <col min="8" max="8" width="3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6"/>
      <c r="D2" s="86"/>
      <c r="E2" s="86" t="s">
        <v>24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7" t="s">
        <v>64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8" t="s">
        <v>38</v>
      </c>
      <c r="B6" s="256" t="s">
        <v>42</v>
      </c>
      <c r="C6" s="257"/>
      <c r="D6" s="251" t="s">
        <v>18</v>
      </c>
      <c r="E6" s="257"/>
      <c r="F6" s="89" t="s">
        <v>39</v>
      </c>
      <c r="G6" s="251" t="s">
        <v>19</v>
      </c>
      <c r="H6" s="252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90">
        <v>1</v>
      </c>
      <c r="B7" s="253" t="s">
        <v>65</v>
      </c>
      <c r="C7" s="241"/>
      <c r="D7" s="253" t="s">
        <v>180</v>
      </c>
      <c r="E7" s="241"/>
      <c r="F7" s="91" t="s">
        <v>66</v>
      </c>
      <c r="G7" s="260"/>
      <c r="H7" s="243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90">
        <v>2</v>
      </c>
      <c r="B8" s="253" t="s">
        <v>67</v>
      </c>
      <c r="C8" s="241"/>
      <c r="D8" s="254" t="s">
        <v>181</v>
      </c>
      <c r="E8" s="241"/>
      <c r="F8" s="91" t="s">
        <v>68</v>
      </c>
      <c r="G8" s="254"/>
      <c r="H8" s="243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90">
        <v>3</v>
      </c>
      <c r="B9" s="255" t="s">
        <v>69</v>
      </c>
      <c r="C9" s="241"/>
      <c r="D9" s="254" t="s">
        <v>182</v>
      </c>
      <c r="E9" s="241"/>
      <c r="F9" s="91" t="s">
        <v>68</v>
      </c>
      <c r="G9" s="254"/>
      <c r="H9" s="243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90">
        <v>4</v>
      </c>
      <c r="B10" s="255" t="s">
        <v>70</v>
      </c>
      <c r="C10" s="241"/>
      <c r="D10" s="254" t="s">
        <v>183</v>
      </c>
      <c r="E10" s="241"/>
      <c r="F10" s="91" t="s">
        <v>71</v>
      </c>
      <c r="G10" s="254"/>
      <c r="H10" s="243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90">
        <v>5</v>
      </c>
      <c r="B11" s="253" t="s">
        <v>72</v>
      </c>
      <c r="C11" s="241"/>
      <c r="D11" s="254" t="s">
        <v>184</v>
      </c>
      <c r="E11" s="241"/>
      <c r="F11" s="91" t="s">
        <v>71</v>
      </c>
      <c r="G11" s="254"/>
      <c r="H11" s="243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90">
        <v>6</v>
      </c>
      <c r="B12" s="253" t="s">
        <v>73</v>
      </c>
      <c r="C12" s="241"/>
      <c r="D12" s="254" t="s">
        <v>185</v>
      </c>
      <c r="E12" s="241"/>
      <c r="F12" s="91" t="s">
        <v>71</v>
      </c>
      <c r="G12" s="254"/>
      <c r="H12" s="243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90">
        <v>7</v>
      </c>
      <c r="B13" s="261" t="s">
        <v>74</v>
      </c>
      <c r="C13" s="259"/>
      <c r="D13" s="258" t="s">
        <v>186</v>
      </c>
      <c r="E13" s="259"/>
      <c r="F13" s="91" t="s">
        <v>66</v>
      </c>
      <c r="G13" s="258"/>
      <c r="H13" s="247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92"/>
      <c r="C14" s="9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75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7" t="s">
        <v>76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8" t="s">
        <v>38</v>
      </c>
      <c r="B17" s="256" t="s">
        <v>75</v>
      </c>
      <c r="C17" s="257"/>
      <c r="D17" s="89" t="s">
        <v>77</v>
      </c>
      <c r="E17" s="89" t="s">
        <v>78</v>
      </c>
      <c r="F17" s="89" t="s">
        <v>79</v>
      </c>
      <c r="G17" s="251" t="s">
        <v>19</v>
      </c>
      <c r="H17" s="252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91">
        <v>1</v>
      </c>
      <c r="B18" s="255" t="s">
        <v>80</v>
      </c>
      <c r="C18" s="241"/>
      <c r="D18" s="93">
        <v>45595</v>
      </c>
      <c r="E18" s="91" t="s">
        <v>81</v>
      </c>
      <c r="F18" s="91" t="s">
        <v>82</v>
      </c>
      <c r="G18" s="239" t="s">
        <v>83</v>
      </c>
      <c r="H18" s="241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4">
        <v>2</v>
      </c>
      <c r="B19" s="262" t="s">
        <v>84</v>
      </c>
      <c r="C19" s="263"/>
      <c r="D19" s="95">
        <v>45595</v>
      </c>
      <c r="E19" s="94" t="s">
        <v>81</v>
      </c>
      <c r="F19" s="94" t="s">
        <v>82</v>
      </c>
      <c r="G19" s="264"/>
      <c r="H19" s="263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91">
        <v>3</v>
      </c>
      <c r="B20" s="255" t="s">
        <v>85</v>
      </c>
      <c r="C20" s="241"/>
      <c r="D20" s="93">
        <v>45595</v>
      </c>
      <c r="E20" s="91" t="s">
        <v>81</v>
      </c>
      <c r="F20" s="91" t="s">
        <v>82</v>
      </c>
      <c r="G20" s="239"/>
      <c r="H20" s="241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91">
        <v>4</v>
      </c>
      <c r="B21" s="255" t="s">
        <v>86</v>
      </c>
      <c r="C21" s="241"/>
      <c r="D21" s="93">
        <v>45595</v>
      </c>
      <c r="E21" s="91" t="s">
        <v>81</v>
      </c>
      <c r="F21" s="91" t="s">
        <v>82</v>
      </c>
      <c r="G21" s="239"/>
      <c r="H21" s="241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7" t="s">
        <v>88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6" t="s">
        <v>38</v>
      </c>
      <c r="B25" s="268" t="s">
        <v>89</v>
      </c>
      <c r="C25" s="205"/>
      <c r="D25" s="230" t="s">
        <v>90</v>
      </c>
      <c r="E25" s="204"/>
      <c r="F25" s="205"/>
      <c r="G25" s="230" t="s">
        <v>19</v>
      </c>
      <c r="H25" s="205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7">
        <v>1</v>
      </c>
      <c r="B26" s="269" t="s">
        <v>187</v>
      </c>
      <c r="C26" s="270"/>
      <c r="D26" s="273" t="s">
        <v>190</v>
      </c>
      <c r="E26" s="274"/>
      <c r="F26" s="270"/>
      <c r="G26" s="273" t="s">
        <v>191</v>
      </c>
      <c r="H26" s="270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8">
        <v>2</v>
      </c>
      <c r="B27" s="271" t="s">
        <v>188</v>
      </c>
      <c r="C27" s="272"/>
      <c r="D27" s="275" t="s">
        <v>192</v>
      </c>
      <c r="E27" s="276"/>
      <c r="F27" s="272"/>
      <c r="G27" s="277"/>
      <c r="H27" s="272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99">
        <v>3</v>
      </c>
      <c r="B28" s="265" t="s">
        <v>189</v>
      </c>
      <c r="C28" s="266"/>
      <c r="D28" s="278" t="s">
        <v>193</v>
      </c>
      <c r="E28" s="279"/>
      <c r="F28" s="266"/>
      <c r="G28" s="278" t="s">
        <v>194</v>
      </c>
      <c r="H28" s="266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91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100" t="s">
        <v>92</v>
      </c>
      <c r="B31" s="101"/>
      <c r="C31" s="101"/>
      <c r="D31" s="101"/>
      <c r="E31" s="101"/>
      <c r="F31" s="101"/>
      <c r="G31" s="101"/>
      <c r="H31" s="102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3" t="s">
        <v>38</v>
      </c>
      <c r="B32" s="256" t="s">
        <v>93</v>
      </c>
      <c r="C32" s="267"/>
      <c r="D32" s="252"/>
      <c r="E32" s="256" t="s">
        <v>94</v>
      </c>
      <c r="F32" s="252"/>
      <c r="G32" s="256" t="s">
        <v>95</v>
      </c>
      <c r="H32" s="252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4">
        <v>1</v>
      </c>
      <c r="B33" s="239" t="s">
        <v>96</v>
      </c>
      <c r="C33" s="240"/>
      <c r="D33" s="241"/>
      <c r="E33" s="239" t="s">
        <v>97</v>
      </c>
      <c r="F33" s="241"/>
      <c r="G33" s="239" t="s">
        <v>98</v>
      </c>
      <c r="H33" s="241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4">
        <v>2</v>
      </c>
      <c r="B34" s="239" t="s">
        <v>99</v>
      </c>
      <c r="C34" s="240"/>
      <c r="D34" s="241"/>
      <c r="E34" s="239" t="s">
        <v>100</v>
      </c>
      <c r="F34" s="241"/>
      <c r="G34" s="239" t="s">
        <v>101</v>
      </c>
      <c r="H34" s="241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57.6" customHeight="1">
      <c r="A35" s="104">
        <v>3</v>
      </c>
      <c r="B35" s="239" t="s">
        <v>102</v>
      </c>
      <c r="C35" s="240"/>
      <c r="D35" s="241"/>
      <c r="E35" s="239" t="s">
        <v>103</v>
      </c>
      <c r="F35" s="241"/>
      <c r="G35" s="239" t="s">
        <v>104</v>
      </c>
      <c r="H35" s="241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50.45" customHeight="1">
      <c r="A36" s="104">
        <v>4</v>
      </c>
      <c r="B36" s="239" t="s">
        <v>105</v>
      </c>
      <c r="C36" s="240"/>
      <c r="D36" s="241"/>
      <c r="E36" s="239" t="s">
        <v>106</v>
      </c>
      <c r="F36" s="241"/>
      <c r="G36" s="239" t="s">
        <v>107</v>
      </c>
      <c r="H36" s="241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4">
        <v>5</v>
      </c>
      <c r="B37" s="239" t="s">
        <v>108</v>
      </c>
      <c r="C37" s="240"/>
      <c r="D37" s="241"/>
      <c r="E37" s="239" t="s">
        <v>100</v>
      </c>
      <c r="F37" s="241"/>
      <c r="G37" s="239" t="s">
        <v>109</v>
      </c>
      <c r="H37" s="241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110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7" t="s">
        <v>111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5" t="s">
        <v>38</v>
      </c>
      <c r="B41" s="244" t="s">
        <v>112</v>
      </c>
      <c r="C41" s="205"/>
      <c r="D41" s="230" t="s">
        <v>18</v>
      </c>
      <c r="E41" s="204"/>
      <c r="F41" s="204"/>
      <c r="G41" s="204"/>
      <c r="H41" s="205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6">
        <v>1</v>
      </c>
      <c r="B42" s="245" t="s">
        <v>195</v>
      </c>
      <c r="C42" s="243"/>
      <c r="D42" s="245" t="s">
        <v>197</v>
      </c>
      <c r="E42" s="240"/>
      <c r="F42" s="240"/>
      <c r="G42" s="240"/>
      <c r="H42" s="243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7">
        <v>2</v>
      </c>
      <c r="B43" s="246" t="s">
        <v>196</v>
      </c>
      <c r="C43" s="247"/>
      <c r="D43" s="246" t="s">
        <v>198</v>
      </c>
      <c r="E43" s="250"/>
      <c r="F43" s="250"/>
      <c r="G43" s="250"/>
      <c r="H43" s="247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7" t="s">
        <v>114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5" t="s">
        <v>38</v>
      </c>
      <c r="B47" s="230" t="s">
        <v>115</v>
      </c>
      <c r="C47" s="205"/>
      <c r="D47" s="230" t="s">
        <v>18</v>
      </c>
      <c r="E47" s="205"/>
      <c r="F47" s="108" t="s">
        <v>39</v>
      </c>
      <c r="G47" s="108" t="s">
        <v>116</v>
      </c>
      <c r="H47" s="108" t="s">
        <v>117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09">
        <v>1</v>
      </c>
      <c r="B48" s="248" t="s">
        <v>201</v>
      </c>
      <c r="C48" s="249"/>
      <c r="D48" s="248" t="s">
        <v>199</v>
      </c>
      <c r="E48" s="249"/>
      <c r="F48" s="110" t="s">
        <v>200</v>
      </c>
      <c r="G48" s="111">
        <v>45551</v>
      </c>
      <c r="H48" s="111">
        <v>45558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12">
        <v>2</v>
      </c>
      <c r="B49" s="242" t="s">
        <v>202</v>
      </c>
      <c r="C49" s="243"/>
      <c r="D49" s="242" t="s">
        <v>203</v>
      </c>
      <c r="E49" s="243"/>
      <c r="F49" s="113" t="s">
        <v>204</v>
      </c>
      <c r="G49" s="111">
        <v>45551</v>
      </c>
      <c r="H49" s="111">
        <v>45558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09">
        <v>3</v>
      </c>
      <c r="B50" s="242"/>
      <c r="C50" s="243"/>
      <c r="D50" s="242"/>
      <c r="E50" s="243"/>
      <c r="F50" s="113"/>
      <c r="G50" s="111"/>
      <c r="H50" s="111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4"/>
      <c r="F51" s="114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  <mergeCell ref="G17:H17"/>
    <mergeCell ref="G18:H18"/>
    <mergeCell ref="G19:H19"/>
    <mergeCell ref="G20:H20"/>
    <mergeCell ref="G21:H21"/>
    <mergeCell ref="B17:C17"/>
    <mergeCell ref="B18:C18"/>
    <mergeCell ref="B19:C19"/>
    <mergeCell ref="B20:C20"/>
    <mergeCell ref="B21:C21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D9:E9"/>
    <mergeCell ref="B10:C10"/>
    <mergeCell ref="D10:E10"/>
    <mergeCell ref="B6:C6"/>
    <mergeCell ref="D6:E6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22" workbookViewId="0">
      <selection activeCell="K20" sqref="K20"/>
    </sheetView>
  </sheetViews>
  <sheetFormatPr defaultColWidth="14.5" defaultRowHeight="15" customHeight="1"/>
  <cols>
    <col min="1" max="1" width="2.83203125" customWidth="1"/>
    <col min="2" max="2" width="39" customWidth="1"/>
    <col min="3" max="3" width="15.83203125" customWidth="1"/>
    <col min="4" max="4" width="32.1640625" customWidth="1"/>
    <col min="5" max="6" width="15.83203125" customWidth="1"/>
    <col min="7" max="7" width="19.83203125" customWidth="1"/>
    <col min="8" max="8" width="27.16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6" t="s">
        <v>26</v>
      </c>
      <c r="E2" s="86"/>
      <c r="F2" s="86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118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119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121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5" t="s">
        <v>122</v>
      </c>
      <c r="C10" s="281" t="s">
        <v>123</v>
      </c>
      <c r="D10" s="283" t="s">
        <v>124</v>
      </c>
      <c r="E10" s="283" t="s">
        <v>125</v>
      </c>
      <c r="F10" s="284" t="s">
        <v>126</v>
      </c>
      <c r="G10" s="285"/>
      <c r="H10" s="287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6" t="s">
        <v>127</v>
      </c>
      <c r="C11" s="282"/>
      <c r="D11" s="282"/>
      <c r="E11" s="282"/>
      <c r="F11" s="282"/>
      <c r="G11" s="286"/>
      <c r="H11" s="28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7" t="s">
        <v>128</v>
      </c>
      <c r="C12" s="109" t="s">
        <v>129</v>
      </c>
      <c r="D12" s="109"/>
      <c r="E12" s="109" t="s">
        <v>129</v>
      </c>
      <c r="F12" s="109"/>
      <c r="G12" s="118"/>
      <c r="H12" s="119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7" t="s">
        <v>130</v>
      </c>
      <c r="C13" s="112"/>
      <c r="D13" s="112" t="s">
        <v>129</v>
      </c>
      <c r="E13" s="112" t="s">
        <v>129</v>
      </c>
      <c r="F13" s="112" t="s">
        <v>129</v>
      </c>
      <c r="G13" s="120"/>
      <c r="H13" s="120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21" t="s">
        <v>39</v>
      </c>
      <c r="C14" s="78" t="s">
        <v>131</v>
      </c>
      <c r="D14" s="78" t="s">
        <v>68</v>
      </c>
      <c r="E14" s="78" t="s">
        <v>68</v>
      </c>
      <c r="F14" s="78" t="s">
        <v>68</v>
      </c>
      <c r="G14" s="122"/>
      <c r="H14" s="122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3"/>
      <c r="C15" s="123"/>
      <c r="D15" s="123"/>
      <c r="E15" s="123"/>
      <c r="F15" s="123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3"/>
      <c r="C16" s="123"/>
      <c r="D16" s="123"/>
      <c r="E16" s="123"/>
      <c r="F16" s="123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132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133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30" t="s">
        <v>134</v>
      </c>
      <c r="C19" s="205"/>
      <c r="D19" s="230" t="s">
        <v>135</v>
      </c>
      <c r="E19" s="204"/>
      <c r="F19" s="280"/>
      <c r="G19" s="230" t="s">
        <v>19</v>
      </c>
      <c r="H19" s="205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89" t="s">
        <v>205</v>
      </c>
      <c r="C20" s="205"/>
      <c r="D20" s="289" t="s">
        <v>179</v>
      </c>
      <c r="E20" s="204"/>
      <c r="F20" s="204"/>
      <c r="G20" s="290"/>
      <c r="H20" s="205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136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137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5" t="s">
        <v>112</v>
      </c>
      <c r="C25" s="230" t="s">
        <v>138</v>
      </c>
      <c r="D25" s="204"/>
      <c r="E25" s="204"/>
      <c r="F25" s="205"/>
      <c r="G25" s="244" t="s">
        <v>19</v>
      </c>
      <c r="H25" s="205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71" t="s">
        <v>139</v>
      </c>
      <c r="C26" s="291" t="s">
        <v>140</v>
      </c>
      <c r="D26" s="204"/>
      <c r="E26" s="204"/>
      <c r="F26" s="205"/>
      <c r="G26" s="292" t="s">
        <v>141</v>
      </c>
      <c r="H26" s="205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71" t="s">
        <v>142</v>
      </c>
      <c r="C27" s="289" t="s">
        <v>143</v>
      </c>
      <c r="D27" s="204"/>
      <c r="E27" s="204"/>
      <c r="F27" s="205"/>
      <c r="G27" s="295"/>
      <c r="H27" s="205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71" t="s">
        <v>144</v>
      </c>
      <c r="C28" s="289" t="s">
        <v>145</v>
      </c>
      <c r="D28" s="204"/>
      <c r="E28" s="204"/>
      <c r="F28" s="205"/>
      <c r="G28" s="292"/>
      <c r="H28" s="205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4" t="s">
        <v>146</v>
      </c>
      <c r="C29" s="296" t="s">
        <v>147</v>
      </c>
      <c r="D29" s="204"/>
      <c r="E29" s="204"/>
      <c r="F29" s="205"/>
      <c r="G29" s="294"/>
      <c r="H29" s="205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5" t="s">
        <v>148</v>
      </c>
      <c r="C30" s="293" t="s">
        <v>149</v>
      </c>
      <c r="D30" s="204"/>
      <c r="E30" s="204"/>
      <c r="F30" s="205"/>
      <c r="G30" s="294"/>
      <c r="H30" s="205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4" t="s">
        <v>150</v>
      </c>
      <c r="C31" s="292" t="s">
        <v>151</v>
      </c>
      <c r="D31" s="204"/>
      <c r="E31" s="204"/>
      <c r="F31" s="205"/>
      <c r="G31" s="294"/>
      <c r="H31" s="205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7"/>
      <c r="C35" s="126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6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B20:C20"/>
    <mergeCell ref="D20:F20"/>
    <mergeCell ref="G20:H20"/>
    <mergeCell ref="C25:F25"/>
    <mergeCell ref="G25:H25"/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opLeftCell="A37" workbookViewId="0">
      <selection activeCell="D30" sqref="D30"/>
    </sheetView>
  </sheetViews>
  <sheetFormatPr defaultColWidth="14.5" defaultRowHeight="15" customHeight="1"/>
  <cols>
    <col min="1" max="1" width="5.1640625" customWidth="1"/>
    <col min="2" max="2" width="34" customWidth="1"/>
    <col min="3" max="3" width="20.1640625" customWidth="1"/>
    <col min="4" max="5" width="12.5" customWidth="1"/>
    <col min="6" max="6" width="9.1640625" customWidth="1"/>
    <col min="7" max="9" width="8" customWidth="1"/>
    <col min="10" max="10" width="29.5" customWidth="1"/>
    <col min="11" max="11" width="8" customWidth="1"/>
    <col min="12" max="12" width="48.83203125" customWidth="1"/>
    <col min="13" max="13" width="12.16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6" t="s">
        <v>28</v>
      </c>
      <c r="D2" s="86"/>
      <c r="E2" s="86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152</v>
      </c>
      <c r="B4" s="38"/>
      <c r="C4" s="38"/>
      <c r="D4" s="127"/>
      <c r="E4" s="127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8" t="s">
        <v>38</v>
      </c>
      <c r="B6" s="129" t="s">
        <v>154</v>
      </c>
      <c r="C6" s="130" t="s">
        <v>155</v>
      </c>
      <c r="D6" s="303" t="s">
        <v>156</v>
      </c>
      <c r="E6" s="304"/>
      <c r="F6" s="304"/>
      <c r="G6" s="304"/>
      <c r="H6" s="304"/>
      <c r="I6" s="304"/>
      <c r="J6" s="30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32.450000000000003" customHeight="1">
      <c r="A7" s="131">
        <v>1</v>
      </c>
      <c r="B7" s="132" t="str">
        <f>Appendix!C48</f>
        <v>Trần Quốc Trung</v>
      </c>
      <c r="C7" s="59" t="s">
        <v>157</v>
      </c>
      <c r="D7" s="300" t="s">
        <v>206</v>
      </c>
      <c r="E7" s="301"/>
      <c r="F7" s="301"/>
      <c r="G7" s="301"/>
      <c r="H7" s="301"/>
      <c r="I7" s="301"/>
      <c r="J7" s="302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3.15" customHeight="1">
      <c r="A8" s="131">
        <f t="shared" ref="A8:A16" si="0">ROW()-6</f>
        <v>2</v>
      </c>
      <c r="B8" s="133" t="s">
        <v>208</v>
      </c>
      <c r="C8" s="62" t="s">
        <v>158</v>
      </c>
      <c r="D8" s="297" t="s">
        <v>211</v>
      </c>
      <c r="E8" s="298"/>
      <c r="F8" s="298"/>
      <c r="G8" s="298"/>
      <c r="H8" s="298"/>
      <c r="I8" s="298"/>
      <c r="J8" s="299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3.15" customHeight="1">
      <c r="A9" s="131">
        <f t="shared" si="0"/>
        <v>3</v>
      </c>
      <c r="B9" s="120" t="str">
        <f>Appendix!C49</f>
        <v>Nguyễn Hoàng Tú</v>
      </c>
      <c r="C9" s="62" t="s">
        <v>158</v>
      </c>
      <c r="D9" s="297" t="s">
        <v>212</v>
      </c>
      <c r="E9" s="298"/>
      <c r="F9" s="298"/>
      <c r="G9" s="298"/>
      <c r="H9" s="298"/>
      <c r="I9" s="298"/>
      <c r="J9" s="299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21.6" customHeight="1">
      <c r="A10" s="131">
        <f t="shared" si="0"/>
        <v>4</v>
      </c>
      <c r="B10" s="120" t="str">
        <f>Appendix!C49</f>
        <v>Nguyễn Hoàng Tú</v>
      </c>
      <c r="C10" s="62" t="s">
        <v>158</v>
      </c>
      <c r="D10" s="297" t="s">
        <v>213</v>
      </c>
      <c r="E10" s="298"/>
      <c r="F10" s="298"/>
      <c r="G10" s="298"/>
      <c r="H10" s="298"/>
      <c r="I10" s="298"/>
      <c r="J10" s="299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26.45" customHeight="1">
      <c r="A11" s="131">
        <f t="shared" si="0"/>
        <v>5</v>
      </c>
      <c r="B11" s="134" t="s">
        <v>209</v>
      </c>
      <c r="C11" s="62" t="s">
        <v>158</v>
      </c>
      <c r="D11" s="297" t="s">
        <v>215</v>
      </c>
      <c r="E11" s="298"/>
      <c r="F11" s="298"/>
      <c r="G11" s="298"/>
      <c r="H11" s="298"/>
      <c r="I11" s="298"/>
      <c r="J11" s="299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26.45" customHeight="1">
      <c r="A12" s="131">
        <f t="shared" si="0"/>
        <v>6</v>
      </c>
      <c r="B12" s="120" t="str">
        <f>Appendix!C48</f>
        <v>Trần Quốc Trung</v>
      </c>
      <c r="C12" s="62" t="s">
        <v>157</v>
      </c>
      <c r="D12" s="297" t="s">
        <v>214</v>
      </c>
      <c r="E12" s="298"/>
      <c r="F12" s="298"/>
      <c r="G12" s="298"/>
      <c r="H12" s="298"/>
      <c r="I12" s="298"/>
      <c r="J12" s="299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3.15" customHeight="1">
      <c r="A13" s="131">
        <f t="shared" si="0"/>
        <v>7</v>
      </c>
      <c r="B13" s="134" t="s">
        <v>210</v>
      </c>
      <c r="C13" s="62" t="s">
        <v>158</v>
      </c>
      <c r="D13" s="297" t="s">
        <v>216</v>
      </c>
      <c r="E13" s="298"/>
      <c r="F13" s="298"/>
      <c r="G13" s="298"/>
      <c r="H13" s="298"/>
      <c r="I13" s="298"/>
      <c r="J13" s="299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3.15" customHeight="1">
      <c r="A14" s="131">
        <f t="shared" si="0"/>
        <v>8</v>
      </c>
      <c r="B14" s="134" t="s">
        <v>209</v>
      </c>
      <c r="C14" s="62" t="s">
        <v>158</v>
      </c>
      <c r="D14" s="297" t="s">
        <v>217</v>
      </c>
      <c r="E14" s="298"/>
      <c r="F14" s="298"/>
      <c r="G14" s="298"/>
      <c r="H14" s="298"/>
      <c r="I14" s="298"/>
      <c r="J14" s="299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3.15" customHeight="1">
      <c r="A15" s="131">
        <f t="shared" si="0"/>
        <v>9</v>
      </c>
      <c r="B15" s="134" t="s">
        <v>208</v>
      </c>
      <c r="C15" s="135" t="s">
        <v>158</v>
      </c>
      <c r="D15" s="297" t="s">
        <v>218</v>
      </c>
      <c r="E15" s="298"/>
      <c r="F15" s="298"/>
      <c r="G15" s="298"/>
      <c r="H15" s="298"/>
      <c r="I15" s="298"/>
      <c r="J15" s="299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3.15" customHeight="1">
      <c r="A16" s="136">
        <f t="shared" si="0"/>
        <v>10</v>
      </c>
      <c r="B16" s="137" t="s">
        <v>178</v>
      </c>
      <c r="C16" s="85" t="s">
        <v>158</v>
      </c>
      <c r="D16" s="307" t="s">
        <v>219</v>
      </c>
      <c r="E16" s="308"/>
      <c r="F16" s="308"/>
      <c r="G16" s="308"/>
      <c r="H16" s="308"/>
      <c r="I16" s="308"/>
      <c r="J16" s="309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63"/>
      <c r="B17" s="138"/>
      <c r="C17" s="139"/>
      <c r="D17" s="140"/>
      <c r="E17" s="140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41" t="s">
        <v>28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4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03" t="s">
        <v>38</v>
      </c>
      <c r="B20" s="103" t="s">
        <v>159</v>
      </c>
      <c r="C20" s="88" t="s">
        <v>116</v>
      </c>
      <c r="D20" s="230" t="s">
        <v>117</v>
      </c>
      <c r="E20" s="205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" customHeight="1">
      <c r="A21" s="97">
        <v>1</v>
      </c>
      <c r="B21" s="141" t="s">
        <v>65</v>
      </c>
      <c r="C21" s="142">
        <v>45574</v>
      </c>
      <c r="D21" s="311">
        <v>45578</v>
      </c>
      <c r="E21" s="312"/>
      <c r="F21" s="38"/>
      <c r="G21" s="38"/>
      <c r="H21" s="38"/>
      <c r="I21" s="38"/>
      <c r="J21" s="38"/>
      <c r="K21" s="38"/>
      <c r="L21" s="143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98">
        <v>2</v>
      </c>
      <c r="B22" s="144" t="s">
        <v>67</v>
      </c>
      <c r="C22" s="145">
        <v>45579</v>
      </c>
      <c r="D22" s="306">
        <v>45580</v>
      </c>
      <c r="E22" s="243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98">
        <v>3</v>
      </c>
      <c r="B23" s="144" t="s">
        <v>160</v>
      </c>
      <c r="C23" s="145">
        <v>45581</v>
      </c>
      <c r="D23" s="306">
        <v>45582</v>
      </c>
      <c r="E23" s="243"/>
      <c r="F23" s="38"/>
      <c r="G23" s="38"/>
      <c r="H23" s="38"/>
      <c r="I23" s="38"/>
      <c r="J23" s="38"/>
      <c r="K23" s="38"/>
      <c r="L23" s="143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146">
        <v>4</v>
      </c>
      <c r="B24" s="147" t="s">
        <v>161</v>
      </c>
      <c r="C24" s="148">
        <v>45585</v>
      </c>
      <c r="D24" s="306">
        <v>45588</v>
      </c>
      <c r="E24" s="243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149">
        <v>5</v>
      </c>
      <c r="B25" s="150" t="s">
        <v>162</v>
      </c>
      <c r="C25" s="145">
        <v>45588</v>
      </c>
      <c r="D25" s="306">
        <v>45590</v>
      </c>
      <c r="E25" s="243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151">
        <v>6</v>
      </c>
      <c r="B26" s="152" t="s">
        <v>163</v>
      </c>
      <c r="C26" s="153">
        <v>45591</v>
      </c>
      <c r="D26" s="310">
        <v>45595</v>
      </c>
      <c r="E26" s="247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154"/>
      <c r="B28" s="103" t="s">
        <v>164</v>
      </c>
      <c r="C28" s="155" t="s">
        <v>165</v>
      </c>
      <c r="D28" s="88" t="s">
        <v>166</v>
      </c>
      <c r="E28" s="156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157" t="s">
        <v>65</v>
      </c>
      <c r="C29" s="158">
        <f>INT(C21)-INT($C$21)</f>
        <v>0</v>
      </c>
      <c r="D29" s="158">
        <f t="shared" ref="D29:D33" si="1">(INT(D21)-INT($C$21))-(INT(C21)-INT($C$21))</f>
        <v>4</v>
      </c>
      <c r="E29" s="38"/>
      <c r="F29" s="38"/>
      <c r="G29" s="38"/>
      <c r="H29" s="38"/>
      <c r="I29" s="38"/>
      <c r="J29" s="38"/>
      <c r="K29" s="38"/>
      <c r="L29" s="38"/>
      <c r="M29" s="159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157" t="s">
        <v>67</v>
      </c>
      <c r="C30" s="158">
        <f>INT(C22)-INT($C$21)-1</f>
        <v>4</v>
      </c>
      <c r="D30" s="158">
        <f t="shared" si="1"/>
        <v>1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38"/>
      <c r="B31" s="157" t="s">
        <v>160</v>
      </c>
      <c r="C31" s="158">
        <f>INT(C23)-INT($C$21)-2</f>
        <v>5</v>
      </c>
      <c r="D31" s="158">
        <f t="shared" si="1"/>
        <v>1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57" t="s">
        <v>161</v>
      </c>
      <c r="C32" s="158">
        <f>INT(C24)-INT($C$21)-3</f>
        <v>8</v>
      </c>
      <c r="D32" s="158">
        <f t="shared" si="1"/>
        <v>3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157" t="s">
        <v>162</v>
      </c>
      <c r="C33" s="158">
        <f>INT(C25)-INT($C$21)-4</f>
        <v>10</v>
      </c>
      <c r="D33" s="158">
        <f t="shared" si="1"/>
        <v>2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157" t="s">
        <v>163</v>
      </c>
      <c r="C34" s="158">
        <f>INT(C26)-INT($C$21)-5</f>
        <v>12</v>
      </c>
      <c r="D34" s="158">
        <f>(INT(D26)-INT($C$21))-(INT(C26)-INT($C$21))+1</f>
        <v>5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5" customHeight="1">
      <c r="A36" s="41" t="s">
        <v>167</v>
      </c>
      <c r="B36" s="41"/>
      <c r="C36" s="38"/>
      <c r="D36" s="38"/>
      <c r="E36" s="38"/>
      <c r="F36" s="43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160" t="s">
        <v>168</v>
      </c>
      <c r="C37" s="38"/>
      <c r="D37" s="16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26:E26"/>
    <mergeCell ref="D20:E20"/>
    <mergeCell ref="D21:E21"/>
    <mergeCell ref="D22:E22"/>
    <mergeCell ref="D11:J11"/>
    <mergeCell ref="D12:J12"/>
    <mergeCell ref="D23:E23"/>
    <mergeCell ref="D24:E24"/>
    <mergeCell ref="D25:E25"/>
    <mergeCell ref="D15:J15"/>
    <mergeCell ref="D16:J16"/>
    <mergeCell ref="D14:J14"/>
    <mergeCell ref="D13:J13"/>
    <mergeCell ref="D10:J10"/>
    <mergeCell ref="D9:J9"/>
    <mergeCell ref="D8:J8"/>
    <mergeCell ref="D7:J7"/>
    <mergeCell ref="D6:J6"/>
  </mergeCells>
  <hyperlinks>
    <hyperlink ref="B37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9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9" sqref="F29"/>
    </sheetView>
  </sheetViews>
  <sheetFormatPr defaultColWidth="14.5" defaultRowHeight="15" customHeight="1" outlineLevelRow="1"/>
  <cols>
    <col min="1" max="1" width="8.5" customWidth="1"/>
    <col min="2" max="2" width="44.5" customWidth="1"/>
    <col min="3" max="3" width="21.83203125" customWidth="1"/>
    <col min="4" max="4" width="14.6640625" customWidth="1"/>
    <col min="5" max="5" width="5.83203125" customWidth="1"/>
    <col min="6" max="6" width="10.6640625" customWidth="1"/>
    <col min="7" max="7" width="6.5" customWidth="1"/>
    <col min="8" max="8" width="9.6640625" customWidth="1"/>
    <col min="9" max="9" width="8.33203125" customWidth="1"/>
    <col min="10" max="10" width="8.6640625" customWidth="1"/>
    <col min="11" max="11" width="8.5" customWidth="1"/>
    <col min="12" max="12" width="5.33203125" customWidth="1"/>
    <col min="13" max="13" width="4.5" customWidth="1"/>
    <col min="14" max="14" width="4.1640625" customWidth="1"/>
    <col min="15" max="15" width="4.33203125" customWidth="1"/>
    <col min="16" max="16" width="4" customWidth="1"/>
    <col min="17" max="17" width="4.6640625" customWidth="1"/>
    <col min="18" max="18" width="3.5" customWidth="1"/>
    <col min="19" max="19" width="4.33203125" customWidth="1"/>
    <col min="20" max="20" width="4.5" customWidth="1"/>
    <col min="21" max="21" width="4.33203125" customWidth="1"/>
    <col min="22" max="22" width="4.5" customWidth="1"/>
    <col min="23" max="23" width="3.83203125" customWidth="1"/>
    <col min="24" max="25" width="4" customWidth="1"/>
    <col min="26" max="26" width="4.5" customWidth="1"/>
  </cols>
  <sheetData>
    <row r="1" spans="1:29" ht="12.75" customHeight="1">
      <c r="A1" s="314" t="s">
        <v>38</v>
      </c>
      <c r="B1" s="316" t="s">
        <v>159</v>
      </c>
      <c r="C1" s="318" t="s">
        <v>156</v>
      </c>
      <c r="D1" s="320" t="s">
        <v>220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2"/>
      <c r="AB1" s="38"/>
      <c r="AC1" s="38"/>
    </row>
    <row r="2" spans="1:29" ht="12" customHeight="1">
      <c r="A2" s="315"/>
      <c r="B2" s="317"/>
      <c r="C2" s="319"/>
      <c r="D2" s="38">
        <v>9</v>
      </c>
      <c r="E2" s="38">
        <v>10</v>
      </c>
      <c r="F2" s="38">
        <v>11</v>
      </c>
      <c r="G2" s="38">
        <v>12</v>
      </c>
      <c r="H2" s="38">
        <v>13</v>
      </c>
      <c r="I2" s="38">
        <v>14</v>
      </c>
      <c r="J2" s="38">
        <v>15</v>
      </c>
      <c r="K2" s="38">
        <v>16</v>
      </c>
      <c r="L2" s="38">
        <v>17</v>
      </c>
      <c r="M2" s="38">
        <v>18</v>
      </c>
      <c r="N2" s="38">
        <v>19</v>
      </c>
      <c r="O2" s="38">
        <v>20</v>
      </c>
      <c r="P2" s="38">
        <v>21</v>
      </c>
      <c r="Q2" s="38">
        <v>22</v>
      </c>
      <c r="R2" s="38">
        <v>23</v>
      </c>
      <c r="S2" s="38">
        <v>24</v>
      </c>
      <c r="T2" s="38">
        <v>25</v>
      </c>
      <c r="U2" s="38">
        <v>26</v>
      </c>
      <c r="V2" s="38">
        <v>27</v>
      </c>
      <c r="W2" s="38">
        <v>28</v>
      </c>
      <c r="X2" s="38">
        <v>29</v>
      </c>
      <c r="Y2" s="38">
        <v>30</v>
      </c>
      <c r="Z2" s="38">
        <v>31</v>
      </c>
      <c r="AB2" s="38"/>
      <c r="AC2" s="38"/>
    </row>
    <row r="3" spans="1:29" ht="14.25" customHeight="1">
      <c r="A3" s="162">
        <v>1</v>
      </c>
      <c r="B3" s="163" t="s">
        <v>65</v>
      </c>
      <c r="C3" s="157" t="s">
        <v>169</v>
      </c>
      <c r="D3" s="313"/>
      <c r="E3" s="198"/>
      <c r="F3" s="198"/>
      <c r="G3" s="198"/>
      <c r="H3" s="213"/>
      <c r="I3" s="38"/>
      <c r="J3" s="38"/>
      <c r="K3" s="38"/>
      <c r="L3" s="38"/>
      <c r="M3" s="38"/>
      <c r="N3" s="38"/>
      <c r="O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12.75" customHeight="1">
      <c r="A4" s="162">
        <v>2</v>
      </c>
      <c r="B4" s="163" t="s">
        <v>67</v>
      </c>
      <c r="C4" s="164"/>
      <c r="D4" s="38"/>
      <c r="E4" s="38"/>
      <c r="F4" s="38"/>
      <c r="G4" s="38"/>
      <c r="H4" s="38"/>
      <c r="I4" s="313"/>
      <c r="J4" s="213"/>
      <c r="K4" s="38"/>
      <c r="L4" s="38"/>
      <c r="M4" s="38"/>
      <c r="N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12.75" customHeight="1" outlineLevel="1">
      <c r="A5" s="165">
        <v>43467</v>
      </c>
      <c r="B5" s="166" t="s">
        <v>221</v>
      </c>
      <c r="C5" s="157" t="str">
        <f>Appendix!C49</f>
        <v>Nguyễn Hoàng Tú</v>
      </c>
      <c r="D5" s="38"/>
      <c r="E5" s="38"/>
      <c r="F5" s="38"/>
      <c r="G5" s="38"/>
      <c r="H5" s="38"/>
      <c r="I5" s="167"/>
      <c r="J5" s="38"/>
      <c r="K5" s="38"/>
      <c r="L5" s="38"/>
      <c r="M5" s="38"/>
      <c r="N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12.75" customHeight="1" outlineLevel="1">
      <c r="A6" s="165">
        <v>43498</v>
      </c>
      <c r="B6" s="166" t="s">
        <v>222</v>
      </c>
      <c r="C6" s="157" t="str">
        <f>Appendix!C49</f>
        <v>Nguyễn Hoàng Tú</v>
      </c>
      <c r="D6" s="38"/>
      <c r="E6" s="38"/>
      <c r="F6" s="38"/>
      <c r="G6" s="38"/>
      <c r="H6" s="38"/>
      <c r="I6" s="167"/>
      <c r="J6" s="38"/>
      <c r="K6" s="38"/>
      <c r="L6" s="38"/>
      <c r="M6" s="38"/>
      <c r="N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12.75" customHeight="1" outlineLevel="1">
      <c r="A7" s="165">
        <v>43526</v>
      </c>
      <c r="B7" s="166" t="s">
        <v>223</v>
      </c>
      <c r="C7" s="157" t="str">
        <f>Appendix!C49</f>
        <v>Nguyễn Hoàng Tú</v>
      </c>
      <c r="D7" s="38"/>
      <c r="E7" s="38"/>
      <c r="F7" s="38"/>
      <c r="G7" s="38"/>
      <c r="H7" s="38"/>
      <c r="I7" s="167"/>
      <c r="J7" s="38"/>
      <c r="K7" s="38"/>
      <c r="L7" s="38"/>
      <c r="M7" s="38"/>
      <c r="N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2.75" customHeight="1" outlineLevel="1">
      <c r="A8" s="165">
        <v>43557</v>
      </c>
      <c r="B8" s="166" t="s">
        <v>224</v>
      </c>
      <c r="C8" s="157" t="s">
        <v>208</v>
      </c>
      <c r="D8" s="168"/>
      <c r="E8" s="168"/>
      <c r="F8" s="168"/>
      <c r="G8" s="168"/>
      <c r="H8" s="168"/>
      <c r="I8" s="167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12.75" customHeight="1" outlineLevel="1">
      <c r="A9" s="165">
        <v>43587</v>
      </c>
      <c r="B9" s="166" t="s">
        <v>225</v>
      </c>
      <c r="C9" s="157" t="str">
        <f>Appendix!C48</f>
        <v>Trần Quốc Trung</v>
      </c>
      <c r="D9" s="38"/>
      <c r="E9" s="38"/>
      <c r="F9" s="38"/>
      <c r="G9" s="38"/>
      <c r="H9" s="38"/>
      <c r="I9" s="167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12.75" customHeight="1" outlineLevel="1">
      <c r="A10" s="165">
        <v>43618</v>
      </c>
      <c r="B10" s="166" t="s">
        <v>226</v>
      </c>
      <c r="C10" s="157" t="s">
        <v>209</v>
      </c>
      <c r="D10" s="38"/>
      <c r="E10" s="38"/>
      <c r="F10" s="38"/>
      <c r="G10" s="38"/>
      <c r="H10" s="38"/>
      <c r="I10" s="16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2.75" customHeight="1" outlineLevel="1">
      <c r="A11" s="165">
        <v>43648</v>
      </c>
      <c r="B11" s="166" t="s">
        <v>227</v>
      </c>
      <c r="C11" s="157" t="s">
        <v>210</v>
      </c>
      <c r="D11" s="38"/>
      <c r="E11" s="38"/>
      <c r="F11" s="38"/>
      <c r="G11" s="38"/>
      <c r="H11" s="38"/>
      <c r="I11" s="167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12.75" customHeight="1" outlineLevel="1">
      <c r="A12" s="165">
        <v>43679</v>
      </c>
      <c r="B12" s="166" t="s">
        <v>170</v>
      </c>
      <c r="C12" s="157" t="s">
        <v>169</v>
      </c>
      <c r="D12" s="38"/>
      <c r="E12" s="38"/>
      <c r="F12" s="38"/>
      <c r="G12" s="38"/>
      <c r="H12" s="38"/>
      <c r="I12" s="38"/>
      <c r="J12" s="167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12.75" customHeight="1">
      <c r="A13" s="162">
        <v>3</v>
      </c>
      <c r="B13" s="163" t="s">
        <v>160</v>
      </c>
      <c r="C13" s="169"/>
      <c r="D13" s="38"/>
      <c r="E13" s="38"/>
      <c r="F13" s="38"/>
      <c r="G13" s="38"/>
      <c r="H13" s="38"/>
      <c r="I13" s="38"/>
      <c r="J13" s="38"/>
      <c r="K13" s="313"/>
      <c r="L13" s="198"/>
      <c r="M13" s="198"/>
      <c r="N13" s="213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12.75" customHeight="1" outlineLevel="1">
      <c r="A14" s="165">
        <v>43468</v>
      </c>
      <c r="B14" s="166" t="s">
        <v>221</v>
      </c>
      <c r="C14" s="157" t="str">
        <f>Appendix!C49</f>
        <v>Nguyễn Hoàng Tú</v>
      </c>
      <c r="D14" s="38"/>
      <c r="E14" s="38"/>
      <c r="F14" s="38"/>
      <c r="G14" s="38"/>
      <c r="H14" s="38"/>
      <c r="I14" s="38"/>
      <c r="J14" s="38"/>
      <c r="K14" s="167"/>
      <c r="L14" s="167"/>
      <c r="M14" s="167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2.75" customHeight="1" outlineLevel="1">
      <c r="A15" s="165">
        <v>43499</v>
      </c>
      <c r="B15" s="166" t="s">
        <v>222</v>
      </c>
      <c r="C15" s="157" t="str">
        <f>Appendix!C49</f>
        <v>Nguyễn Hoàng Tú</v>
      </c>
      <c r="D15" s="38"/>
      <c r="E15" s="38"/>
      <c r="F15" s="38"/>
      <c r="G15" s="38"/>
      <c r="H15" s="38"/>
      <c r="I15" s="38"/>
      <c r="J15" s="38"/>
      <c r="K15" s="167"/>
      <c r="L15" s="167"/>
      <c r="M15" s="167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12.75" customHeight="1" outlineLevel="1">
      <c r="A16" s="165">
        <v>43527</v>
      </c>
      <c r="B16" s="166" t="s">
        <v>223</v>
      </c>
      <c r="C16" s="157" t="str">
        <f>Appendix!C49</f>
        <v>Nguyễn Hoàng Tú</v>
      </c>
      <c r="D16" s="38"/>
      <c r="E16" s="38"/>
      <c r="F16" s="38"/>
      <c r="G16" s="38"/>
      <c r="H16" s="38"/>
      <c r="I16" s="38"/>
      <c r="J16" s="38"/>
      <c r="K16" s="167"/>
      <c r="L16" s="167"/>
      <c r="M16" s="167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2.75" customHeight="1" outlineLevel="1">
      <c r="A17" s="165">
        <v>43558</v>
      </c>
      <c r="B17" s="166" t="s">
        <v>224</v>
      </c>
      <c r="C17" s="157" t="s">
        <v>208</v>
      </c>
      <c r="D17" s="38"/>
      <c r="E17" s="38"/>
      <c r="F17" s="38"/>
      <c r="G17" s="38"/>
      <c r="H17" s="38"/>
      <c r="I17" s="38"/>
      <c r="J17" s="38"/>
      <c r="K17" s="167"/>
      <c r="L17" s="167"/>
      <c r="M17" s="167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2.75" customHeight="1" outlineLevel="1">
      <c r="A18" s="165">
        <v>43588</v>
      </c>
      <c r="B18" s="166" t="s">
        <v>225</v>
      </c>
      <c r="C18" s="157" t="str">
        <f>Appendix!C48</f>
        <v>Trần Quốc Trung</v>
      </c>
      <c r="D18" s="38"/>
      <c r="E18" s="38"/>
      <c r="F18" s="38"/>
      <c r="G18" s="38"/>
      <c r="H18" s="38"/>
      <c r="I18" s="38"/>
      <c r="J18" s="38"/>
      <c r="K18" s="167"/>
      <c r="L18" s="167"/>
      <c r="M18" s="167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ht="12.75" customHeight="1" outlineLevel="1">
      <c r="A19" s="165">
        <v>43619</v>
      </c>
      <c r="B19" s="166" t="s">
        <v>226</v>
      </c>
      <c r="C19" s="157" t="s">
        <v>209</v>
      </c>
      <c r="D19" s="38"/>
      <c r="E19" s="38"/>
      <c r="F19" s="38"/>
      <c r="G19" s="38"/>
      <c r="H19" s="38"/>
      <c r="I19" s="38"/>
      <c r="J19" s="38"/>
      <c r="K19" s="167"/>
      <c r="L19" s="167"/>
      <c r="M19" s="167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ht="12.75" customHeight="1" outlineLevel="1">
      <c r="A20" s="165">
        <v>43649</v>
      </c>
      <c r="B20" s="166" t="s">
        <v>227</v>
      </c>
      <c r="C20" s="157" t="s">
        <v>210</v>
      </c>
      <c r="D20" s="38"/>
      <c r="E20" s="38"/>
      <c r="F20" s="38"/>
      <c r="G20" s="38"/>
      <c r="H20" s="38"/>
      <c r="I20" s="38"/>
      <c r="J20" s="38"/>
      <c r="K20" s="167"/>
      <c r="L20" s="167"/>
      <c r="M20" s="167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12.75" customHeight="1" outlineLevel="1">
      <c r="A21" s="165">
        <v>43680</v>
      </c>
      <c r="B21" s="166" t="s">
        <v>170</v>
      </c>
      <c r="C21" s="157" t="s">
        <v>169</v>
      </c>
      <c r="D21" s="38"/>
      <c r="E21" s="38"/>
      <c r="F21" s="38"/>
      <c r="G21" s="38"/>
      <c r="H21" s="38"/>
      <c r="I21" s="38"/>
      <c r="J21" s="38"/>
      <c r="K21" s="167"/>
      <c r="L21" s="167"/>
      <c r="M21" s="167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12.75" customHeight="1" outlineLevel="1">
      <c r="A22" s="165">
        <v>43711</v>
      </c>
      <c r="B22" s="166" t="s">
        <v>170</v>
      </c>
      <c r="C22" s="157" t="s">
        <v>169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167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12.75" customHeight="1">
      <c r="A23" s="162">
        <v>4</v>
      </c>
      <c r="B23" s="169" t="s">
        <v>171</v>
      </c>
      <c r="C23" s="170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171"/>
      <c r="P23" s="171"/>
      <c r="Q23" s="171"/>
      <c r="R23" s="171"/>
      <c r="S23" s="171"/>
      <c r="T23" s="171"/>
      <c r="U23" s="171"/>
      <c r="V23" s="171"/>
      <c r="W23" s="38"/>
      <c r="X23" s="38"/>
      <c r="Y23" s="38"/>
      <c r="Z23" s="38"/>
      <c r="AA23" s="38"/>
      <c r="AB23" s="38"/>
      <c r="AC23" s="38"/>
    </row>
    <row r="24" spans="1:29" ht="12.75" customHeight="1" outlineLevel="1">
      <c r="A24" s="165">
        <v>43469</v>
      </c>
      <c r="B24" s="166" t="s">
        <v>221</v>
      </c>
      <c r="C24" s="157" t="str">
        <f>Appendix!C49</f>
        <v>Nguyễn Hoàng Tú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167"/>
      <c r="P24" s="167"/>
      <c r="Q24" s="167"/>
      <c r="R24" s="167"/>
      <c r="S24" s="167"/>
      <c r="T24" s="167"/>
      <c r="U24" s="167"/>
      <c r="V24" s="38"/>
      <c r="W24" s="38"/>
      <c r="X24" s="38"/>
      <c r="Y24" s="38"/>
      <c r="Z24" s="38"/>
      <c r="AA24" s="38"/>
      <c r="AB24" s="38"/>
      <c r="AC24" s="38"/>
    </row>
    <row r="25" spans="1:29" ht="12.75" customHeight="1" outlineLevel="1">
      <c r="A25" s="172">
        <v>43500</v>
      </c>
      <c r="B25" s="166" t="s">
        <v>222</v>
      </c>
      <c r="C25" s="157" t="str">
        <f>Appendix!C49</f>
        <v>Nguyễn Hoàng Tú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167"/>
      <c r="P25" s="167"/>
      <c r="Q25" s="167"/>
      <c r="R25" s="167"/>
      <c r="S25" s="167"/>
      <c r="T25" s="167"/>
      <c r="U25" s="167"/>
      <c r="V25" s="38"/>
      <c r="W25" s="38"/>
      <c r="X25" s="38"/>
      <c r="Y25" s="38"/>
      <c r="Z25" s="38"/>
      <c r="AA25" s="38"/>
      <c r="AB25" s="38"/>
      <c r="AC25" s="38"/>
    </row>
    <row r="26" spans="1:29" ht="12.75" customHeight="1" outlineLevel="1">
      <c r="A26" s="172">
        <v>43528</v>
      </c>
      <c r="B26" s="166" t="s">
        <v>223</v>
      </c>
      <c r="C26" s="157" t="str">
        <f>Appendix!C49</f>
        <v>Nguyễn Hoàng Tú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167"/>
      <c r="P26" s="167"/>
      <c r="Q26" s="167"/>
      <c r="R26" s="167"/>
      <c r="S26" s="167"/>
      <c r="T26" s="167"/>
      <c r="U26" s="167"/>
      <c r="V26" s="38"/>
      <c r="W26" s="38"/>
      <c r="X26" s="38"/>
      <c r="Y26" s="38"/>
      <c r="Z26" s="38"/>
      <c r="AA26" s="38"/>
      <c r="AB26" s="38"/>
      <c r="AC26" s="38"/>
    </row>
    <row r="27" spans="1:29" ht="12.75" customHeight="1" outlineLevel="1">
      <c r="A27" s="172">
        <v>43559</v>
      </c>
      <c r="B27" s="166" t="s">
        <v>224</v>
      </c>
      <c r="C27" s="157" t="s">
        <v>208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167"/>
      <c r="P27" s="167"/>
      <c r="Q27" s="167"/>
      <c r="R27" s="167"/>
      <c r="S27" s="167"/>
      <c r="T27" s="167"/>
      <c r="U27" s="167"/>
      <c r="V27" s="38"/>
      <c r="W27" s="38"/>
      <c r="X27" s="38"/>
      <c r="Y27" s="38"/>
      <c r="Z27" s="38"/>
      <c r="AA27" s="38"/>
      <c r="AB27" s="38"/>
      <c r="AC27" s="38"/>
    </row>
    <row r="28" spans="1:29" ht="12.75" customHeight="1" outlineLevel="1">
      <c r="A28" s="165">
        <v>43589</v>
      </c>
      <c r="B28" s="166" t="s">
        <v>225</v>
      </c>
      <c r="C28" s="157" t="str">
        <f>Appendix!C48</f>
        <v>Trần Quốc Trung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167"/>
      <c r="P28" s="167"/>
      <c r="Q28" s="167"/>
      <c r="R28" s="167"/>
      <c r="S28" s="167"/>
      <c r="T28" s="167"/>
      <c r="U28" s="167"/>
      <c r="V28" s="38"/>
      <c r="W28" s="38"/>
      <c r="X28" s="38"/>
      <c r="Y28" s="38"/>
      <c r="Z28" s="38"/>
      <c r="AA28" s="38"/>
      <c r="AB28" s="38"/>
      <c r="AC28" s="38"/>
    </row>
    <row r="29" spans="1:29" ht="12.75" customHeight="1" outlineLevel="1">
      <c r="A29" s="165">
        <v>43620</v>
      </c>
      <c r="B29" s="166" t="s">
        <v>226</v>
      </c>
      <c r="C29" s="157" t="s">
        <v>209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167"/>
      <c r="P29" s="167"/>
      <c r="Q29" s="167"/>
      <c r="R29" s="167"/>
      <c r="S29" s="167"/>
      <c r="T29" s="167"/>
      <c r="U29" s="167"/>
      <c r="V29" s="38"/>
      <c r="W29" s="38"/>
      <c r="X29" s="38"/>
      <c r="Y29" s="38"/>
      <c r="Z29" s="38"/>
      <c r="AA29" s="38"/>
      <c r="AB29" s="38"/>
      <c r="AC29" s="38"/>
    </row>
    <row r="30" spans="1:29" ht="12.75" customHeight="1" outlineLevel="1">
      <c r="A30" s="165">
        <v>43650</v>
      </c>
      <c r="B30" s="166" t="s">
        <v>227</v>
      </c>
      <c r="C30" s="157" t="s">
        <v>210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167"/>
      <c r="P30" s="167"/>
      <c r="Q30" s="167"/>
      <c r="R30" s="167"/>
      <c r="S30" s="167"/>
      <c r="T30" s="167"/>
      <c r="U30" s="167"/>
      <c r="V30" s="38"/>
      <c r="W30" s="38"/>
      <c r="X30" s="38"/>
      <c r="Y30" s="38"/>
      <c r="Z30" s="38"/>
      <c r="AA30" s="38"/>
      <c r="AB30" s="38"/>
      <c r="AC30" s="38"/>
    </row>
    <row r="31" spans="1:29" ht="12.75" customHeight="1" outlineLevel="1">
      <c r="A31" s="165">
        <v>43681</v>
      </c>
      <c r="B31" s="166" t="s">
        <v>170</v>
      </c>
      <c r="C31" s="157" t="s">
        <v>169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167"/>
      <c r="P31" s="167"/>
      <c r="Q31" s="167"/>
      <c r="R31" s="167"/>
      <c r="S31" s="167"/>
      <c r="T31" s="167"/>
      <c r="U31" s="167"/>
      <c r="V31" s="38"/>
      <c r="Z31" s="38"/>
      <c r="AA31" s="38"/>
      <c r="AB31" s="38"/>
      <c r="AC31" s="38"/>
    </row>
    <row r="32" spans="1:29" ht="12.75" customHeight="1" outlineLevel="1">
      <c r="A32" s="165">
        <v>43712</v>
      </c>
      <c r="B32" s="166" t="s">
        <v>170</v>
      </c>
      <c r="C32" s="157" t="s">
        <v>169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167"/>
      <c r="Z32" s="38"/>
      <c r="AA32" s="38"/>
      <c r="AB32" s="38"/>
      <c r="AC32" s="38"/>
    </row>
    <row r="33" spans="1:29" ht="12.75" customHeight="1">
      <c r="A33" s="170">
        <v>5</v>
      </c>
      <c r="B33" s="169" t="s">
        <v>162</v>
      </c>
      <c r="C33" s="158" t="s">
        <v>169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13"/>
      <c r="X33" s="198"/>
      <c r="Y33" s="213"/>
      <c r="AA33" s="38"/>
      <c r="AB33" s="38"/>
      <c r="AC33" s="38"/>
    </row>
    <row r="34" spans="1:29" ht="15.75" customHeight="1">
      <c r="A34" s="173">
        <v>6</v>
      </c>
      <c r="B34" s="169" t="s">
        <v>170</v>
      </c>
      <c r="C34" s="174" t="s">
        <v>169</v>
      </c>
      <c r="Z34" s="175" t="s">
        <v>129</v>
      </c>
    </row>
    <row r="35" spans="1:29" ht="15.75" customHeight="1"/>
    <row r="36" spans="1:29" ht="15.75" customHeight="1"/>
    <row r="37" spans="1:29" ht="15.75" customHeight="1"/>
    <row r="38" spans="1:29" ht="15.75" customHeight="1"/>
    <row r="39" spans="1:29" ht="15.75" customHeight="1"/>
    <row r="40" spans="1:29" ht="15.75" customHeight="1"/>
    <row r="41" spans="1:29" ht="15.75" customHeight="1"/>
    <row r="42" spans="1:29" ht="15.75" customHeight="1"/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8">
    <mergeCell ref="I4:J4"/>
    <mergeCell ref="K13:N13"/>
    <mergeCell ref="W33:Y33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opLeftCell="A9" workbookViewId="0">
      <selection activeCell="C48" sqref="C48"/>
    </sheetView>
  </sheetViews>
  <sheetFormatPr defaultColWidth="14.5" defaultRowHeight="15" customHeight="1"/>
  <cols>
    <col min="1" max="1" width="6.1640625" customWidth="1"/>
    <col min="2" max="2" width="5" customWidth="1"/>
    <col min="3" max="3" width="34.1640625" customWidth="1"/>
    <col min="4" max="4" width="75.1640625" customWidth="1"/>
    <col min="5" max="5" width="16.1640625" customWidth="1"/>
    <col min="6" max="6" width="14.16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76" t="s">
        <v>30</v>
      </c>
      <c r="E2" s="17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8"/>
      <c r="C3" s="178"/>
      <c r="D3" s="178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172</v>
      </c>
      <c r="C4" s="41"/>
      <c r="D4" s="178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79" t="s">
        <v>38</v>
      </c>
      <c r="C5" s="179" t="s">
        <v>173</v>
      </c>
      <c r="D5" s="180" t="s">
        <v>174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81">
        <v>1</v>
      </c>
      <c r="C6" s="181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82">
        <v>2</v>
      </c>
      <c r="C7" s="182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82">
        <v>3</v>
      </c>
      <c r="C8" s="182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82">
        <v>4</v>
      </c>
      <c r="C9" s="182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82">
        <v>5</v>
      </c>
      <c r="C10" s="182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82">
        <v>6</v>
      </c>
      <c r="C11" s="182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82">
        <v>7</v>
      </c>
      <c r="C12" s="182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82">
        <v>8</v>
      </c>
      <c r="C13" s="182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82">
        <v>9</v>
      </c>
      <c r="C14" s="182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82">
        <v>10</v>
      </c>
      <c r="C15" s="182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82">
        <v>11</v>
      </c>
      <c r="C16" s="182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82">
        <v>12</v>
      </c>
      <c r="C17" s="182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82">
        <v>13</v>
      </c>
      <c r="C18" s="182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82">
        <v>14</v>
      </c>
      <c r="C19" s="182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82">
        <v>15</v>
      </c>
      <c r="C20" s="182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82">
        <v>17</v>
      </c>
      <c r="C21" s="182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83"/>
      <c r="C22" s="184"/>
      <c r="D22" s="185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175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80" t="s">
        <v>38</v>
      </c>
      <c r="C26" s="180"/>
      <c r="D26" s="180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86">
        <v>1</v>
      </c>
      <c r="C27" s="182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86">
        <v>1</v>
      </c>
      <c r="C28" s="182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86">
        <v>2</v>
      </c>
      <c r="C29" s="182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86">
        <v>3</v>
      </c>
      <c r="C30" s="182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86">
        <v>4</v>
      </c>
      <c r="C31" s="182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87"/>
      <c r="C32" s="188"/>
      <c r="D32" s="189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90" t="s">
        <v>38</v>
      </c>
      <c r="C33" s="190"/>
      <c r="D33" s="180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86">
        <v>4</v>
      </c>
      <c r="C34" s="120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86">
        <v>5</v>
      </c>
      <c r="C35" s="120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86">
        <v>6</v>
      </c>
      <c r="C36" s="120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86">
        <v>7</v>
      </c>
      <c r="C37" s="120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86">
        <v>8</v>
      </c>
      <c r="C38" s="120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86">
        <v>9</v>
      </c>
      <c r="C39" s="120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86">
        <v>10</v>
      </c>
      <c r="C40" s="120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86">
        <v>11</v>
      </c>
      <c r="C41" s="120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86">
        <v>12</v>
      </c>
      <c r="C42" s="120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86">
        <v>13</v>
      </c>
      <c r="C43" s="120"/>
      <c r="D43" s="191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86">
        <v>14</v>
      </c>
      <c r="C44" s="120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92"/>
      <c r="C45" s="193"/>
      <c r="D45" s="189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33" t="s">
        <v>176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33">
        <v>1</v>
      </c>
      <c r="C48" s="33" t="s">
        <v>207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33">
        <v>2</v>
      </c>
      <c r="C49" s="33" t="s">
        <v>178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33">
        <v>3</v>
      </c>
      <c r="C50" s="120" t="s">
        <v>208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>
        <v>4</v>
      </c>
      <c r="C51" s="33" t="s">
        <v>209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>
        <v>5</v>
      </c>
      <c r="C52" s="33" t="s">
        <v>210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Trường Lê Chí</cp:lastModifiedBy>
  <dcterms:modified xsi:type="dcterms:W3CDTF">2024-10-31T12:31:00Z</dcterms:modified>
</cp:coreProperties>
</file>